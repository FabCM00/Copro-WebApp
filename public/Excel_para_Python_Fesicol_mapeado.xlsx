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cessing" sheetId="2" state="visible" r:id="rId2"/>
    <sheet xmlns:r="http://schemas.openxmlformats.org/officeDocument/2006/relationships" name="Leyend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&quot;$&quot;\ #,##0.00;[Red]\-&quot;$&quot;\ #,##0.00"/>
    <numFmt numFmtId="166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165" fontId="2" fillId="3" borderId="1" pivotButton="0" quotePrefix="0" xfId="0"/>
    <xf numFmtId="166" fontId="2" fillId="0" borderId="0" pivotButton="0" quotePrefix="0" xfId="0"/>
    <xf numFmtId="0" fontId="2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5" fillId="9" borderId="2" applyAlignment="1" pivotButton="0" quotePrefix="0" xfId="0">
      <alignment vertical="center" wrapText="1"/>
    </xf>
    <xf numFmtId="0" fontId="5" fillId="10" borderId="2" applyAlignment="1" pivotButton="0" quotePrefix="0" xfId="0">
      <alignment vertical="center" wrapText="1"/>
    </xf>
    <xf numFmtId="165" fontId="2" fillId="3" borderId="1" pivotButton="0" quotePrefix="0" xfId="0"/>
    <xf numFmtId="0" fontId="5" fillId="0" borderId="2" applyAlignment="1" pivotButton="0" quotePrefix="0" xfId="0">
      <alignment vertical="center" wrapText="1"/>
    </xf>
    <xf numFmtId="0" fontId="6" fillId="0" borderId="0" pivotButton="0" quotePrefix="0" xfId="0"/>
    <xf numFmtId="0" fontId="7" fillId="6" borderId="2" pivotButton="0" quotePrefix="0" xfId="0"/>
    <xf numFmtId="0" fontId="0" fillId="0" borderId="2" applyAlignment="1" pivotButton="0" quotePrefix="0" xfId="0">
      <alignment vertical="center" wrapText="1"/>
    </xf>
    <xf numFmtId="0" fontId="7" fillId="8" borderId="2" pivotButton="0" quotePrefix="0" xfId="0"/>
    <xf numFmtId="0" fontId="7" fillId="7" borderId="2" pivotButton="0" quotePrefix="0" xfId="0"/>
    <xf numFmtId="0" fontId="7" fillId="10" borderId="2" pivotButton="0" quotePrefix="0" xfId="0"/>
    <xf numFmtId="0" fontId="7" fillId="9" borderId="2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2" sqref="E32"/>
    </sheetView>
  </sheetViews>
  <sheetFormatPr baseColWidth="10" defaultRowHeight="15.6"/>
  <cols>
    <col width="35.5546875" bestFit="1" customWidth="1" style="12" min="1" max="1"/>
    <col width="14.21875" bestFit="1" customWidth="1" style="12" min="2" max="2"/>
    <col width="36.109375" bestFit="1" customWidth="1" style="12" min="3" max="3"/>
    <col width="26.6640625" bestFit="1" customWidth="1" style="12" min="4" max="4"/>
    <col width="11.5546875" customWidth="1" style="12" min="5" max="16384"/>
    <col width="90" customWidth="1" min="6" max="6"/>
  </cols>
  <sheetData>
    <row r="1">
      <c r="A1" s="2" t="inlineStr">
        <is>
          <t>Variable</t>
        </is>
      </c>
      <c r="B1" s="2" t="inlineStr">
        <is>
          <t>Tipo de dato</t>
        </is>
      </c>
      <c r="C1" s="2" t="inlineStr">
        <is>
          <t>Valor</t>
        </is>
      </c>
      <c r="D1" s="2" t="inlineStr">
        <is>
          <t>Origen</t>
        </is>
      </c>
      <c r="E1" s="2" t="inlineStr">
        <is>
          <t>Poderacion</t>
        </is>
      </c>
      <c r="F1" s="13" t="inlineStr">
        <is>
          <t>Variable Python / Cálculo</t>
        </is>
      </c>
    </row>
    <row r="2" ht="32" customHeight="1">
      <c r="A2" s="8" t="inlineStr">
        <is>
          <t>RADICADO</t>
        </is>
      </c>
      <c r="B2" s="5" t="inlineStr">
        <is>
          <t>str</t>
        </is>
      </c>
      <c r="C2" s="5" t="inlineStr">
        <is>
          <t>1062331885_260318151220</t>
        </is>
      </c>
      <c r="D2" s="5" t="inlineStr">
        <is>
          <t>Valida1</t>
        </is>
      </c>
      <c r="E2" s="5" t="n"/>
      <c r="F2" s="14" t="inlineStr">
        <is>
          <t>radicado  (generado en valida_1: f"{id}_{yymmddHHMMSS}")</t>
        </is>
      </c>
    </row>
    <row r="3" ht="32" customHeight="1">
      <c r="A3" s="5" t="inlineStr">
        <is>
          <t>NOMBRE</t>
        </is>
      </c>
      <c r="B3" s="5" t="inlineStr">
        <is>
          <t>str</t>
        </is>
      </c>
      <c r="C3" s="5" t="inlineStr">
        <is>
          <t>MAHECHA MARTINEZ JEISON ANDREY</t>
        </is>
      </c>
      <c r="D3" s="5" t="inlineStr">
        <is>
          <t>Taynasoft</t>
        </is>
      </c>
      <c r="E3" s="5" t="n"/>
      <c r="F3" s="14" t="inlineStr">
        <is>
          <t>campos_taynasoft["name"]  ←  data["primerNombre"] + segundoNombre + primerApellido + segundoApellido</t>
        </is>
      </c>
    </row>
    <row r="4" ht="32" customHeight="1">
      <c r="A4" s="5" t="inlineStr">
        <is>
          <t>CÉDULA</t>
        </is>
      </c>
      <c r="B4" s="5" t="inlineStr">
        <is>
          <t>int</t>
        </is>
      </c>
      <c r="C4" s="5" t="n">
        <v>1023903374</v>
      </c>
      <c r="D4" s="5" t="inlineStr">
        <is>
          <t>Usuario en Bot WA</t>
        </is>
      </c>
      <c r="E4" s="5" t="n"/>
      <c r="F4" s="15" t="inlineStr">
        <is>
          <t>chat_input["id"]</t>
        </is>
      </c>
    </row>
    <row r="5" ht="32" customHeight="1">
      <c r="A5" s="5" t="inlineStr">
        <is>
          <t>GENERO</t>
        </is>
      </c>
      <c r="B5" s="5" t="inlineStr">
        <is>
          <t>str</t>
        </is>
      </c>
      <c r="C5" s="5" t="inlineStr">
        <is>
          <t>M</t>
        </is>
      </c>
      <c r="D5" s="5" t="inlineStr">
        <is>
          <t>Taynasoft</t>
        </is>
      </c>
      <c r="E5" s="5" t="n"/>
      <c r="F5" s="16" t="inlineStr">
        <is>
          <t>NO se usa en el motor. Si se quisiera: Experian basicInformation.gender / genderDesc</t>
        </is>
      </c>
    </row>
    <row r="6" ht="32" customHeight="1">
      <c r="A6" s="5" t="inlineStr">
        <is>
          <t>MONTO SOLICITADO</t>
        </is>
      </c>
      <c r="B6" s="5" t="inlineStr">
        <is>
          <t>int</t>
        </is>
      </c>
      <c r="C6" s="5" t="n">
        <v>10000000</v>
      </c>
      <c r="D6" s="5" t="inlineStr">
        <is>
          <t>Usuario en Bot WA</t>
        </is>
      </c>
      <c r="E6" s="5" t="n"/>
      <c r="F6" s="15" t="inlineStr">
        <is>
          <t>campos_taynasoft["req_amount"]  ←  chat_input["req_amount"]</t>
        </is>
      </c>
    </row>
    <row r="7" ht="32" customHeight="1">
      <c r="A7" s="5" t="inlineStr">
        <is>
          <t>LINEA</t>
        </is>
      </c>
      <c r="B7" s="5" t="inlineStr">
        <is>
          <t>int</t>
        </is>
      </c>
      <c r="C7" s="5" t="inlineStr">
        <is>
          <t>CONSUMO</t>
        </is>
      </c>
      <c r="D7" s="5" t="inlineStr">
        <is>
          <t>Usuario en Bot WA</t>
        </is>
      </c>
      <c r="E7" s="5" t="n"/>
      <c r="F7" s="15" t="inlineStr">
        <is>
          <t>campos_taynasoft["des_line"]  ←  chat_input["credit_line"]  (mapeo credit_line_base)</t>
        </is>
      </c>
    </row>
    <row r="8" ht="32" customHeight="1">
      <c r="A8" s="5" t="inlineStr">
        <is>
          <t>F. ESTUDIO DE CRÉDITO</t>
        </is>
      </c>
      <c r="B8" s="5" t="inlineStr">
        <is>
          <t>datetime.date</t>
        </is>
      </c>
      <c r="C8" s="6" t="n">
        <v>45731</v>
      </c>
      <c r="D8" s="5" t="inlineStr">
        <is>
          <t>Automático</t>
        </is>
      </c>
      <c r="E8" s="5" t="n"/>
      <c r="F8" s="17" t="inlineStr">
        <is>
          <t>datetime.now()  (automático en generar_radicado)</t>
        </is>
      </c>
    </row>
    <row r="9" ht="32" customHeight="1">
      <c r="A9" s="5" t="inlineStr">
        <is>
          <t>TIPO DE ASOCIADO</t>
        </is>
      </c>
      <c r="B9" s="5" t="inlineStr">
        <is>
          <t>str</t>
        </is>
      </c>
      <c r="C9" s="5" t="inlineStr">
        <is>
          <t>COLABORADOR</t>
        </is>
      </c>
      <c r="D9" s="5" t="inlineStr">
        <is>
          <t>Taynasoft</t>
        </is>
      </c>
      <c r="E9" s="5">
        <f>IF(C9="COLABORADOR",30,IF(C9="ADMINISTRATIVO",30,IF(C9="EXTRABAJADOR",-10,IF(C9="FAMILIAR",0,IF(C9="SIEMENS MUNDIAL",-10,IF(C9="MISION",0,0))))))</f>
        <v/>
      </c>
      <c r="F9" s="14" t="inlineStr">
        <is>
          <t>campos_taynasoft["associate"] / ["associate_desc"]  ←  data["idTipoAsociado"]</t>
        </is>
      </c>
    </row>
    <row r="10" ht="32" customHeight="1">
      <c r="A10" s="5" t="inlineStr">
        <is>
          <t>FORMA DE PAGO SOLICITUD</t>
        </is>
      </c>
      <c r="B10" s="5" t="inlineStr">
        <is>
          <t>str</t>
        </is>
      </c>
      <c r="C10" s="5" t="inlineStr">
        <is>
          <t>NOMINA</t>
        </is>
      </c>
      <c r="D10" s="5" t="inlineStr">
        <is>
          <t>Usuario en Bot WA</t>
        </is>
      </c>
      <c r="E10" s="5">
        <f>IF(C10="NOMINA",25,IF(C10="VENTANILLA",-20,IF(OR(C10="DEBITO AUTOMATICO",C10="DEBITO AUTOMÁTICO"),-10,0)))</f>
        <v/>
      </c>
      <c r="F10" s="14" t="inlineStr">
        <is>
          <t>campos_taynasoft["payment"] / ["desc_pay"]  ←  data["idFormaPago"]</t>
        </is>
      </c>
    </row>
    <row r="11" ht="32" customHeight="1">
      <c r="A11" s="5" t="inlineStr">
        <is>
          <t>JURISDICCIÓN</t>
        </is>
      </c>
      <c r="B11" s="5" t="inlineStr">
        <is>
          <t>str</t>
        </is>
      </c>
      <c r="C11" s="5" t="inlineStr">
        <is>
          <t>CUNDINAMARCA</t>
        </is>
      </c>
      <c r="D11" s="5" t="inlineStr">
        <is>
          <t>Taynasoft</t>
        </is>
      </c>
      <c r="E11" s="5">
        <f>IF(C11="CUNDINAMARCA",10,-10)</f>
        <v/>
      </c>
      <c r="F11" s="14" t="inlineStr">
        <is>
          <t>campos_taynasoft["jurisdiction"]  ←  data["idJurisdiccion"]</t>
        </is>
      </c>
    </row>
    <row r="12" ht="32" customHeight="1">
      <c r="A12" s="5" t="inlineStr">
        <is>
          <t>NIVEL DE ESTUDIOS</t>
        </is>
      </c>
      <c r="B12" s="5" t="inlineStr">
        <is>
          <t>str</t>
        </is>
      </c>
      <c r="C12" s="5" t="inlineStr">
        <is>
          <t>Universitaria</t>
        </is>
      </c>
      <c r="D12" s="5" t="inlineStr">
        <is>
          <t>Taynasoft</t>
        </is>
      </c>
      <c r="E12" s="5">
        <f>IF(C12="Universitaria",10,IF(C12="Especializacion",10,IF(C12="Secundaria",-10,IF(C12="Tecnica",5,IF(C12="Tecnológica",5,IF(C12="Maestria",10,IF(C12="Analfabetismo",-10,IF(C12="Magister",10,IF(C12="Doctorado",10,0)))))))))</f>
        <v/>
      </c>
      <c r="F12" s="14" t="inlineStr">
        <is>
          <t>campos_taynasoft["education_lvl"] / ["education_lvl_desc"]  ←  data["idNivelEstudio"]</t>
        </is>
      </c>
    </row>
    <row r="13" ht="32" customHeight="1">
      <c r="A13" s="5" t="inlineStr">
        <is>
          <t>EDAD</t>
        </is>
      </c>
      <c r="B13" s="5" t="inlineStr">
        <is>
          <t>int</t>
        </is>
      </c>
      <c r="C13" s="5" t="n">
        <v>25</v>
      </c>
      <c r="D13" s="5" t="inlineStr">
        <is>
          <t>Taynasoft</t>
        </is>
      </c>
      <c r="E13" s="5">
        <f>IF(AND(C13&gt;=20,C13&lt;=30),10,IF(AND(C13&gt;=31,C13&lt;=40),15,IF(AND(C13&gt;=41,C13&lt;=50),13,IF(AND(C13&gt;=51,C13&lt;=70),10,IF(AND(C13&gt;=71,C13&lt;=80),-5,IF(C13&gt;=81,-20,0))))))</f>
        <v/>
      </c>
      <c r="F13" s="14" t="inlineStr">
        <is>
          <t>campos_taynasoft["age"]  ←  data["edad"]</t>
        </is>
      </c>
    </row>
    <row r="14" ht="32" customHeight="1">
      <c r="A14" s="5" t="inlineStr">
        <is>
          <t>TIPO DE VIVIENDA</t>
        </is>
      </c>
      <c r="B14" s="5" t="inlineStr">
        <is>
          <t>str</t>
        </is>
      </c>
      <c r="C14" s="5" t="inlineStr">
        <is>
          <t>PROPIA</t>
        </is>
      </c>
      <c r="D14" s="5" t="inlineStr">
        <is>
          <t>Taynasoft</t>
        </is>
      </c>
      <c r="E14" s="5">
        <f>IF(C14="PROPIA",10,IF(C14="ARRIENDO",-5,IF(C14="FAMILIAR",0,IF(C14="PROPIA CON HIPOTECA",5,IF(C14="OTRA",-5,0)))))</f>
        <v/>
      </c>
      <c r="F14" s="14" t="inlineStr">
        <is>
          <t>campos_taynasoft["housing_type"] / ["housing_type_desc"]  ←  data["idTipoVivienda"]</t>
        </is>
      </c>
    </row>
    <row r="15" ht="32" customHeight="1">
      <c r="A15" s="5" t="inlineStr">
        <is>
          <t>TIPO DE CONTRATO</t>
        </is>
      </c>
      <c r="B15" s="5" t="inlineStr">
        <is>
          <t>str</t>
        </is>
      </c>
      <c r="C15" s="5" t="inlineStr">
        <is>
          <t>INDEFINIDO</t>
        </is>
      </c>
      <c r="D15" s="5" t="inlineStr">
        <is>
          <t>Taynasoft</t>
        </is>
      </c>
      <c r="E15" s="5">
        <f>IF(C15="INDEFINIDO",15,IF(C15="FIJO",-10,IF(C15="OBRA LABOR",-20,0)))</f>
        <v/>
      </c>
      <c r="F15" s="14" t="inlineStr">
        <is>
          <t>campos_taynasoft["contract_type"] / ["contract_type_desc"]  ←  data["idTipoContrato"]</t>
        </is>
      </c>
    </row>
    <row r="16" ht="32" customHeight="1">
      <c r="A16" s="5" t="inlineStr">
        <is>
          <t>ACTIVIDAD ECONÓMICA</t>
        </is>
      </c>
      <c r="B16" s="5" t="inlineStr">
        <is>
          <t>str</t>
        </is>
      </c>
      <c r="C16" s="5" t="inlineStr">
        <is>
          <t>EMPLEADO</t>
        </is>
      </c>
      <c r="D16" s="5" t="inlineStr">
        <is>
          <t>Taynasoft</t>
        </is>
      </c>
      <c r="E16" s="5">
        <f>IF(C16="PENSIONADO",0,IF(C16="EMPLEADO",5,IF(C16="CESANTE",-20,IF(C16="RENTISTA DE CAPITAL",-20,0))))</f>
        <v/>
      </c>
      <c r="F16" s="14" t="inlineStr">
        <is>
          <t>campos_taynasoft["economic_act"] / ["economic_activity_desc"]  ←  data["idActividadEconomica"]</t>
        </is>
      </c>
    </row>
    <row r="17" ht="32" customHeight="1">
      <c r="A17" s="4" t="inlineStr">
        <is>
          <t>Fecha de Ingreso a la Empresa</t>
        </is>
      </c>
      <c r="B17" s="5" t="inlineStr">
        <is>
          <t>datetime.date</t>
        </is>
      </c>
      <c r="C17" s="6" t="n">
        <v>36566</v>
      </c>
      <c r="D17" s="5" t="inlineStr">
        <is>
          <t>Taynasoft</t>
        </is>
      </c>
      <c r="E17" s="5" t="n"/>
      <c r="F17" s="14" t="inlineStr">
        <is>
          <t>campos_taynasoft["company_entry"]  ←  data["fechaIngresoEmpresa"]</t>
        </is>
      </c>
    </row>
    <row r="18" ht="32" customHeight="1">
      <c r="A18" s="4" t="inlineStr">
        <is>
          <t>Fecha de Ingreso a FESICOL</t>
        </is>
      </c>
      <c r="B18" s="5" t="inlineStr">
        <is>
          <t>datetime.date</t>
        </is>
      </c>
      <c r="C18" s="6" t="n">
        <v>36932</v>
      </c>
      <c r="D18" s="5" t="inlineStr">
        <is>
          <t>Taynasoft</t>
        </is>
      </c>
      <c r="E18" s="5" t="n"/>
      <c r="F18" s="14" t="inlineStr">
        <is>
          <t>campos_taynasoft["fesicol_entry"]  ←  data["fechaIngresoFondo"]</t>
        </is>
      </c>
    </row>
    <row r="19" ht="32" customHeight="1">
      <c r="A19" s="4" t="inlineStr">
        <is>
          <t>Salario Asociado</t>
        </is>
      </c>
      <c r="B19" s="5" t="inlineStr">
        <is>
          <t>float</t>
        </is>
      </c>
      <c r="C19" s="5" t="n">
        <v>3500000</v>
      </c>
      <c r="D19" s="5" t="inlineStr">
        <is>
          <t>Mareigua - TU - Experian(x)</t>
        </is>
      </c>
      <c r="E19" s="5" t="n"/>
      <c r="F19" s="14" t="inlineStr">
        <is>
          <t>campos_taynasoft["salary_amt"]  ←  data["salario"]</t>
        </is>
      </c>
    </row>
    <row r="20" ht="32" customHeight="1">
      <c r="A20" s="5" t="inlineStr">
        <is>
          <t>Descuentos Créditos Fesicol</t>
        </is>
      </c>
      <c r="B20" s="5" t="inlineStr">
        <is>
          <t>float</t>
        </is>
      </c>
      <c r="C20" s="5" t="n">
        <v>200000</v>
      </c>
      <c r="D20" s="5" t="inlineStr">
        <is>
          <t>Taynasoft</t>
        </is>
      </c>
      <c r="E20" s="5" t="n"/>
      <c r="F20" s="14" t="inlineStr">
        <is>
          <t>campos_taynasoft["fesicol_cred"]  ←  data["descuentoCreditoFondo"]</t>
        </is>
      </c>
    </row>
    <row r="21" ht="32" customHeight="1">
      <c r="A21" s="5" t="inlineStr">
        <is>
          <t>Descuentos Ahorros Fesicol</t>
        </is>
      </c>
      <c r="B21" s="5" t="inlineStr">
        <is>
          <t>float</t>
        </is>
      </c>
      <c r="C21" s="5" t="n">
        <v>0</v>
      </c>
      <c r="D21" s="5" t="inlineStr">
        <is>
          <t>Taynasoft</t>
        </is>
      </c>
      <c r="E21" s="5" t="n"/>
      <c r="F21" s="14" t="inlineStr">
        <is>
          <t>campos_taynasoft["fesicol_sav"]  ←  data["descuentoAhorroFondo"]</t>
        </is>
      </c>
    </row>
    <row r="22" ht="32" customHeight="1">
      <c r="A22" s="5" t="inlineStr">
        <is>
          <t>Otros Descuentos Fesicol</t>
        </is>
      </c>
      <c r="B22" s="5" t="inlineStr">
        <is>
          <t>float</t>
        </is>
      </c>
      <c r="C22" s="5" t="n">
        <v>0</v>
      </c>
      <c r="D22" s="5" t="inlineStr">
        <is>
          <t>Taynasoft</t>
        </is>
      </c>
      <c r="E22" s="5" t="n"/>
      <c r="F22" s="14" t="inlineStr">
        <is>
          <t>campos_taynasoft["fesicol_misc"]  ←  data["otroDescuentoFondo"]   (también fesicol_other ← data["otroDescuento"])</t>
        </is>
      </c>
    </row>
    <row r="23" ht="32" customHeight="1">
      <c r="A23" s="5" t="inlineStr">
        <is>
          <t>Cuotas externas</t>
        </is>
      </c>
      <c r="B23" s="5" t="inlineStr">
        <is>
          <t>float</t>
        </is>
      </c>
      <c r="C23" s="5" t="n">
        <v>300000</v>
      </c>
      <c r="D23" s="5" t="inlineStr">
        <is>
          <t>Experian</t>
        </is>
      </c>
      <c r="E23" s="5" t="n"/>
      <c r="F23" s="18" t="inlineStr">
        <is>
          <t>acumuladores_experian["ext_installment"]   (CALCULADO en procesar_response: suma cuotas externas paymentType=="0" y normalized_id != "860004840")</t>
        </is>
      </c>
    </row>
    <row r="24" ht="32" customHeight="1">
      <c r="A24" s="5" t="inlineStr">
        <is>
          <t>Ingresos ( Otros)</t>
        </is>
      </c>
      <c r="B24" s="5" t="inlineStr">
        <is>
          <t>float</t>
        </is>
      </c>
      <c r="C24" s="5" t="n">
        <v>200000</v>
      </c>
      <c r="D24" s="5" t="inlineStr">
        <is>
          <t>Usuario en Bot WA</t>
        </is>
      </c>
      <c r="E24" s="5" t="n"/>
      <c r="F24" s="14" t="inlineStr">
        <is>
          <t>campos_taynasoft["other_income"]  ←  data["otroIngresoSalarial"]   (también income_ext ← data["otroIngreso"])</t>
        </is>
      </c>
    </row>
    <row r="25" ht="32" customHeight="1">
      <c r="A25" s="5" t="inlineStr">
        <is>
          <t>Saldo de Cartera Actual Consumo (Interno)</t>
        </is>
      </c>
      <c r="B25" s="5" t="inlineStr">
        <is>
          <t>float</t>
        </is>
      </c>
      <c r="C25" s="5" t="n">
        <v>2400000</v>
      </c>
      <c r="D25" s="5" t="inlineStr">
        <is>
          <t>Taynasoft</t>
        </is>
      </c>
      <c r="E25" s="5" t="n"/>
      <c r="F25" s="14" t="inlineStr">
        <is>
          <t>campos_taynasoft["bal_cons_in"]  ←  data["saldoCarteraConsumo"]</t>
        </is>
      </c>
    </row>
    <row r="26" ht="32" customHeight="1">
      <c r="A26" s="5" t="inlineStr">
        <is>
          <t>Saldo de Cartera Actual Vehículo (Interno)</t>
        </is>
      </c>
      <c r="B26" s="5" t="inlineStr">
        <is>
          <t>float</t>
        </is>
      </c>
      <c r="C26" s="5" t="n">
        <v>0</v>
      </c>
      <c r="D26" s="5" t="inlineStr">
        <is>
          <t>Taynasoft</t>
        </is>
      </c>
      <c r="E26" s="5" t="n"/>
      <c r="F26" s="14" t="inlineStr">
        <is>
          <t>campos_taynasoft["bal_veh_in"]  ←  data["saldoCarteraVehiculo"]</t>
        </is>
      </c>
    </row>
    <row r="27" ht="32" customHeight="1">
      <c r="A27" s="5" t="inlineStr">
        <is>
          <t>Saldo de Cartera Actual Vivienda (Interno)</t>
        </is>
      </c>
      <c r="B27" s="5" t="inlineStr">
        <is>
          <t>float</t>
        </is>
      </c>
      <c r="C27" s="5" t="n">
        <v>0</v>
      </c>
      <c r="D27" s="5" t="inlineStr">
        <is>
          <t>Taynasoft</t>
        </is>
      </c>
      <c r="E27" s="5" t="n"/>
      <c r="F27" s="14" t="inlineStr">
        <is>
          <t>campos_taynasoft["bal_hous_in"]  ←  data["saldoCarteraVivienda"]</t>
        </is>
      </c>
    </row>
    <row r="28" ht="32" customHeight="1">
      <c r="A28" s="5" t="inlineStr">
        <is>
          <t>Ahorro Permanente</t>
        </is>
      </c>
      <c r="B28" s="5" t="inlineStr">
        <is>
          <t>float</t>
        </is>
      </c>
      <c r="C28" s="5" t="n">
        <v>10000000</v>
      </c>
      <c r="D28" s="5" t="inlineStr">
        <is>
          <t>Taynasoft</t>
        </is>
      </c>
      <c r="E28" s="5" t="n"/>
      <c r="F28" s="14" t="inlineStr">
        <is>
          <t>campos_taynasoft["perm_saving"]  ←  data["ahorroPermanente"]</t>
        </is>
      </c>
    </row>
    <row r="29" ht="32" customHeight="1">
      <c r="A29" s="5" t="inlineStr">
        <is>
          <t>Ahorros a la vista</t>
        </is>
      </c>
      <c r="B29" s="5" t="inlineStr">
        <is>
          <t>float</t>
        </is>
      </c>
      <c r="C29" s="5" t="n">
        <v>5000000</v>
      </c>
      <c r="D29" s="5" t="inlineStr">
        <is>
          <t>Taynasoft</t>
        </is>
      </c>
      <c r="E29" s="5" t="n"/>
      <c r="F29" s="14" t="inlineStr">
        <is>
          <t>campos_taynasoft["avail_saving"]  ←  data["ahorroVista"]</t>
        </is>
      </c>
    </row>
    <row r="30" ht="32" customHeight="1">
      <c r="A30" s="5" t="inlineStr">
        <is>
          <t>PLAZO DE CRÉDITO</t>
        </is>
      </c>
      <c r="B30" s="5" t="inlineStr">
        <is>
          <t>int</t>
        </is>
      </c>
      <c r="C30" s="5" t="n">
        <v>48</v>
      </c>
      <c r="D30" s="5" t="inlineStr">
        <is>
          <t>Usuario en Bot WA</t>
        </is>
      </c>
      <c r="E30" s="5">
        <f>IF(C7="CONSUMO",IF(C30&lt;=36,10,IF(C30&lt;=60,5,0)),IF(C7="VIVIENDA",IF(C30&lt;=120,10,0),0))</f>
        <v/>
      </c>
      <c r="F30" s="15" t="inlineStr">
        <is>
          <t>chat_input["credit_term"]   (→ credit_term en el motor)</t>
        </is>
      </c>
    </row>
    <row r="31" ht="32" customHeight="1">
      <c r="A31" s="5" t="inlineStr">
        <is>
          <t>Saldo Cartera Externa Consumo</t>
        </is>
      </c>
      <c r="B31" s="5" t="inlineStr">
        <is>
          <t>float</t>
        </is>
      </c>
      <c r="C31" s="5" t="n">
        <v>9000000</v>
      </c>
      <c r="D31" s="5" t="inlineStr">
        <is>
          <t>Experian</t>
        </is>
      </c>
      <c r="E31" s="5" t="n"/>
      <c r="F31" s="18" t="inlineStr">
        <is>
          <t>acumuladores_experian["bal_cons_ext"]   (CALCULADO: suma debtBalance de obligaciones consumo, normalized_id != "860004840")</t>
        </is>
      </c>
    </row>
    <row r="32" ht="32" customHeight="1">
      <c r="A32" s="5" t="inlineStr">
        <is>
          <t>Saldo Total Cartera Externa Vivienda</t>
        </is>
      </c>
      <c r="B32" s="5" t="inlineStr">
        <is>
          <t>float</t>
        </is>
      </c>
      <c r="C32" s="5" t="n">
        <v>257000000</v>
      </c>
      <c r="D32" s="5" t="inlineStr">
        <is>
          <t>Experian</t>
        </is>
      </c>
      <c r="E32" s="5" t="n"/>
      <c r="F32" s="18" t="inlineStr">
        <is>
          <t>acumuladores_experian["bal_hous_ext"]   (CALCULADO: suma debtBalance de obligaciones vivienda, typeOfCredit == 3)</t>
        </is>
      </c>
    </row>
    <row r="33" ht="32" customHeight="1">
      <c r="A33" s="5" t="inlineStr">
        <is>
          <t>Saldo Total Cartera Externa Vehiculo</t>
        </is>
      </c>
      <c r="B33" s="5" t="inlineStr">
        <is>
          <t>float</t>
        </is>
      </c>
      <c r="C33" s="5" t="n">
        <v>0</v>
      </c>
      <c r="D33" s="5" t="inlineStr">
        <is>
          <t>Experian</t>
        </is>
      </c>
      <c r="E33" s="5" t="n"/>
      <c r="F33" s="18" t="inlineStr">
        <is>
          <t>acumuladores_experian["bal_veh_ext"]   (CALCULADO: suma debtBalance vehículo, accountTypeDesc in {LVE,CVH,CVD})</t>
        </is>
      </c>
    </row>
    <row r="34" ht="32" customHeight="1">
      <c r="A34" s="5" t="inlineStr">
        <is>
          <t>Amortizacion a Capital actual</t>
        </is>
      </c>
      <c r="B34" s="5" t="inlineStr">
        <is>
          <t>float</t>
        </is>
      </c>
      <c r="C34" s="5" t="n">
        <v>100000</v>
      </c>
      <c r="D34" s="5" t="inlineStr">
        <is>
          <t>Taynasoft</t>
        </is>
      </c>
      <c r="E34" s="5" t="n"/>
      <c r="F34" s="14" t="inlineStr">
        <is>
          <t>campos_taynasoft["curr_amort"]  ←  data["amortizacionCapital"]</t>
        </is>
      </c>
    </row>
    <row r="35" ht="32" customHeight="1">
      <c r="A35" s="5" t="inlineStr">
        <is>
          <t>Amortizacion a Capital Solicitud</t>
        </is>
      </c>
      <c r="B35" s="5" t="inlineStr">
        <is>
          <t>float</t>
        </is>
      </c>
      <c r="C35" s="5" t="n">
        <v>723492</v>
      </c>
      <c r="D35" s="5" t="inlineStr">
        <is>
          <t>Taynasoft</t>
        </is>
      </c>
      <c r="E35" s="5" t="n"/>
      <c r="F35" s="18" t="inlineStr">
        <is>
          <t>transfor_data["proj_installment"]   (CALCULADO: (req_amount*i)/(1-(1+i)^-n) + req_amount*0.00017)</t>
        </is>
      </c>
    </row>
    <row r="36" ht="32" customHeight="1">
      <c r="A36" s="5" t="inlineStr">
        <is>
          <t>Cuota Ahorro Permanente</t>
        </is>
      </c>
      <c r="B36" s="5" t="inlineStr">
        <is>
          <t>float</t>
        </is>
      </c>
      <c r="C36" s="5" t="n">
        <v>50000</v>
      </c>
      <c r="D36" s="5" t="inlineStr">
        <is>
          <t>Taynasoft</t>
        </is>
      </c>
      <c r="E36" s="5" t="n"/>
      <c r="F36" s="14" t="inlineStr">
        <is>
          <t>campos_taynasoft["perm_fee"]  ←  data["cuotaAhorroPermanente"]</t>
        </is>
      </c>
    </row>
    <row r="37" ht="32" customHeight="1">
      <c r="A37" s="5" t="inlineStr">
        <is>
          <t>DIAS DE MORA INTERNA</t>
        </is>
      </c>
      <c r="B37" s="5" t="inlineStr">
        <is>
          <t>int</t>
        </is>
      </c>
      <c r="C37" s="5" t="n">
        <v>0</v>
      </c>
      <c r="D37" s="5" t="inlineStr">
        <is>
          <t>Taynasoft</t>
        </is>
      </c>
      <c r="E37" s="5">
        <f>IF(C37=0,50,IF(AND(C37&gt;=1,C37&lt;=10),0,IF(AND(C37&gt;=11,C37&lt;=30),-50,IF(AND(C37&gt;=31,C37&lt;=60),-80,IF(C37&gt;60,-100,0)))))</f>
        <v/>
      </c>
      <c r="F37" s="14" t="inlineStr">
        <is>
          <t>campos_taynasoft["late_days_in"]  ←  data["diasMoraInterna"]</t>
        </is>
      </c>
    </row>
    <row r="38" ht="32" customHeight="1">
      <c r="A38" s="5" t="inlineStr">
        <is>
          <t>CALIFICACIÓN CENTRAL DE RIESGOS</t>
        </is>
      </c>
      <c r="B38" s="5" t="inlineStr">
        <is>
          <t>int</t>
        </is>
      </c>
      <c r="C38" s="5" t="n">
        <v>674</v>
      </c>
      <c r="D38" s="5" t="inlineStr">
        <is>
          <t>Experian</t>
        </is>
      </c>
      <c r="E38" s="5">
        <f>IF(C38=0,50,IF(C38&gt;=890,280,IF(C38&gt;=800,250,IF(C38&gt;=701,150,IF(C38&gt;=501,50,IF(C38&gt;=351,-100,IF(C38&gt;=1,-200,0)))))))</f>
        <v/>
      </c>
      <c r="F38" s="16" t="inlineStr">
        <is>
          <t>credit_score  ←  response["ReportHDCplus"]["models"][0]["scoreValue"]   (Experian)</t>
        </is>
      </c>
    </row>
    <row r="40">
      <c r="C40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selection activeCell="F12" sqref="F12"/>
    </sheetView>
  </sheetViews>
  <sheetFormatPr baseColWidth="10" defaultRowHeight="15.6"/>
  <cols>
    <col width="46.33203125" bestFit="1" customWidth="1" style="12" min="1" max="1"/>
    <col width="12.44140625" customWidth="1" style="12" min="2" max="2"/>
    <col width="21" customWidth="1" style="12" min="3" max="3"/>
    <col width="17.109375" bestFit="1" customWidth="1" style="12" min="4" max="4"/>
    <col width="20" bestFit="1" customWidth="1" style="12" min="5" max="5"/>
    <col width="90" customWidth="1" style="12" min="6" max="16384"/>
  </cols>
  <sheetData>
    <row r="1">
      <c r="A1" s="2" t="inlineStr">
        <is>
          <t>Variable</t>
        </is>
      </c>
      <c r="B1" s="2" t="inlineStr">
        <is>
          <t>Tipo de dato</t>
        </is>
      </c>
      <c r="C1" s="2" t="inlineStr">
        <is>
          <t>Valor</t>
        </is>
      </c>
      <c r="D1" s="2" t="inlineStr">
        <is>
          <t>Origen</t>
        </is>
      </c>
      <c r="E1" s="2" t="inlineStr">
        <is>
          <t>Ponderacion</t>
        </is>
      </c>
      <c r="F1" s="13" t="inlineStr">
        <is>
          <t>Variable Python / Cálculo</t>
        </is>
      </c>
    </row>
    <row r="2" ht="32" customHeight="1">
      <c r="A2" s="5" t="inlineStr">
        <is>
          <t>ANTIGÜEDAD LABORAL</t>
        </is>
      </c>
      <c r="B2" s="5" t="inlineStr">
        <is>
          <t>int</t>
        </is>
      </c>
      <c r="C2" s="7">
        <f>DAYS360(Data!C17,TODAY())/360</f>
        <v/>
      </c>
      <c r="D2" s="5" t="inlineStr">
        <is>
          <t>Cálculo en motor</t>
        </is>
      </c>
      <c r="E2" s="5">
        <f>IF(C2&lt;3,0,IF(C2&lt;5,5,IF(C2&lt;=10,10,15)))</f>
        <v/>
      </c>
      <c r="F2" s="18" t="inlineStr">
        <is>
          <t>transfor_data["company_age"]   (CALCULADO: años entre company_entry y hoy, en calcular_edad)</t>
        </is>
      </c>
    </row>
    <row r="3" ht="32" customHeight="1">
      <c r="A3" s="4" t="inlineStr">
        <is>
          <t>ANTIGÜEDAD COMO ASOCIADO</t>
        </is>
      </c>
      <c r="B3" s="5" t="inlineStr">
        <is>
          <t>int</t>
        </is>
      </c>
      <c r="C3" s="7">
        <f>DAYS360(Data!C18,TODAY())/360</f>
        <v/>
      </c>
      <c r="D3" s="5" t="inlineStr">
        <is>
          <t>Cálculo en motor</t>
        </is>
      </c>
      <c r="E3" s="5">
        <f>IF(C3&lt;3,0,IF(C3&lt;5,5,IF(C3&lt;=10,10,15)))</f>
        <v/>
      </c>
      <c r="F3" s="18" t="inlineStr">
        <is>
          <t>transfor_data["fesicol_age"]   (CALCULADO: años entre fesicol_entry y hoy)</t>
        </is>
      </c>
    </row>
    <row r="4" ht="32" customHeight="1">
      <c r="A4" s="4" t="inlineStr">
        <is>
          <t>NIVEL DE INGRESOS</t>
        </is>
      </c>
      <c r="B4" s="5" t="inlineStr">
        <is>
          <t>int</t>
        </is>
      </c>
      <c r="C4" s="7">
        <f>Data!C19/1750905</f>
        <v/>
      </c>
      <c r="D4" s="5" t="inlineStr">
        <is>
          <t>Cálculo en motor</t>
        </is>
      </c>
      <c r="E4" s="5">
        <f>IF(C4&lt;2,10,IF(C4&lt;4,20,IF(C4&lt;6,30,IF(C4&lt;8,40,50))))</f>
        <v/>
      </c>
      <c r="F4" s="18" t="inlineStr">
        <is>
          <t>transfor_data["nivel_ingresos"]   (CALCULADO: salary_amt / SM,   SM = 1.423.500)</t>
        </is>
      </c>
    </row>
    <row r="5" ht="32" customHeight="1">
      <c r="A5" s="4" t="inlineStr">
        <is>
          <t>CAPACIDAD DE DESCUENTO</t>
        </is>
      </c>
      <c r="B5" s="5" t="inlineStr">
        <is>
          <t>int</t>
        </is>
      </c>
      <c r="C5" s="7">
        <f>+((Data!C19)-(C6+C7+C9+Data!C20+Data!C21+Data!C22))/(Data!C19)</f>
        <v/>
      </c>
      <c r="D5" s="5" t="inlineStr">
        <is>
          <t>Cálculo en motor</t>
        </is>
      </c>
      <c r="E5" s="5">
        <f>IF(C5&lt;0.4,-50,IF(C5&lt;=0.5,20,IF(C5&lt;=0.6,40,50)))</f>
        <v/>
      </c>
      <c r="F5" s="18" t="inlineStr">
        <is>
          <t>transfor_data["capacidad_descuento"]   (CALCULADO: (ingresos - egresos) / ingresos)</t>
        </is>
      </c>
    </row>
    <row r="6" ht="32" customHeight="1">
      <c r="A6" s="5" t="inlineStr">
        <is>
          <t>Descuentos de Ley (Salud Pensión)</t>
        </is>
      </c>
      <c r="B6" s="5" t="inlineStr">
        <is>
          <t>float</t>
        </is>
      </c>
      <c r="C6" s="5">
        <f>Data!C19*8%</f>
        <v/>
      </c>
      <c r="D6" s="5" t="inlineStr">
        <is>
          <t>Cálculo en motor</t>
        </is>
      </c>
      <c r="E6" s="5" t="n"/>
      <c r="F6" s="18" t="inlineStr">
        <is>
          <t>legal_deduct   (CALCULADO: salary_amt * 0.08)</t>
        </is>
      </c>
    </row>
    <row r="7" ht="32" customHeight="1">
      <c r="A7" s="5" t="inlineStr">
        <is>
          <t>Descuentos de Fondo de Solidaridad</t>
        </is>
      </c>
      <c r="B7" s="5" t="inlineStr">
        <is>
          <t>float</t>
        </is>
      </c>
      <c r="C7" s="5">
        <f>Data!C19*1%</f>
        <v/>
      </c>
      <c r="D7" s="5" t="inlineStr">
        <is>
          <t>Cálculo en motor</t>
        </is>
      </c>
      <c r="E7" s="5" t="n"/>
      <c r="F7" s="18" t="inlineStr">
        <is>
          <t>solidarity_deduction   (CALCULADO: salary_amt * 0.01)</t>
        </is>
      </c>
    </row>
    <row r="8" ht="32" customHeight="1">
      <c r="A8" s="9" t="inlineStr">
        <is>
          <t>Tasa_Nominal_Mes_Vencido</t>
        </is>
      </c>
      <c r="B8" s="5" t="inlineStr">
        <is>
          <t>int</t>
        </is>
      </c>
      <c r="C8" s="5" t="n">
        <v>0.0167</v>
      </c>
      <c r="D8" s="5" t="inlineStr">
        <is>
          <t>Cálculo en motor</t>
        </is>
      </c>
      <c r="E8" s="5" t="n"/>
      <c r="F8" s="18" t="inlineStr">
        <is>
          <t>campos_taynasoft["interest_rate"]   (CALCULADO en calcular_interest_rate según credit_line y credit_term)</t>
        </is>
      </c>
    </row>
    <row r="9" ht="32" customHeight="1">
      <c r="A9" s="5" t="inlineStr">
        <is>
          <t>Cuota de Proyectada solicitud de Crédito</t>
        </is>
      </c>
      <c r="B9" s="5" t="inlineStr">
        <is>
          <t>float</t>
        </is>
      </c>
      <c r="C9" s="19">
        <f>PMT(C8,Data!C30,-Data!C6)</f>
        <v/>
      </c>
      <c r="D9" s="5" t="inlineStr">
        <is>
          <t>Cálculo en motor</t>
        </is>
      </c>
      <c r="E9" s="5" t="n"/>
      <c r="F9" s="18" t="inlineStr">
        <is>
          <t>transfor_data["proj_installment"]   (CALCULADO: fórmula PMT + 0.017% del monto)</t>
        </is>
      </c>
    </row>
    <row r="10" ht="32" customHeight="1">
      <c r="A10" s="5" t="inlineStr">
        <is>
          <t>CAPACIDAD DE PAGO</t>
        </is>
      </c>
      <c r="B10" s="5" t="inlineStr">
        <is>
          <t>int</t>
        </is>
      </c>
      <c r="C10" s="5">
        <f>+((Data!C19+Data!C24)-(C6+C7+C9+Data!C20+Data!C21+Data!C22+Data!C23))/(Data!C19+Data!C24)</f>
        <v/>
      </c>
      <c r="D10" s="5" t="inlineStr">
        <is>
          <t>Cálculo en motor</t>
        </is>
      </c>
      <c r="E10" s="5">
        <f>IF(C10&lt;=0.24,-100,IF(C10&lt;=0.3,80,IF(C10&lt;=0.4,90,100)))</f>
        <v/>
      </c>
      <c r="F10" s="18" t="inlineStr">
        <is>
          <t>transfor_data["capacidad_pago"]   (CALCULADO: (ingresos+income_ext - egresos-ext_installment) / (ingresos+income_ext))</t>
        </is>
      </c>
    </row>
    <row r="11" ht="32" customHeight="1">
      <c r="A11" s="5" t="inlineStr">
        <is>
          <t>APALANCAMIENTO FINANCIERO</t>
        </is>
      </c>
      <c r="B11" s="5" t="inlineStr">
        <is>
          <t>int</t>
        </is>
      </c>
      <c r="C11" s="5">
        <f>+(Data!C6+Data!C25+Data!C26+Data!C27)/(Data!C28+Data!C29)</f>
        <v/>
      </c>
      <c r="D11" s="5" t="inlineStr">
        <is>
          <t>Cálculo en motor</t>
        </is>
      </c>
      <c r="E11" s="5">
        <f>IF(C11&lt;=10,20,IF(C11&lt;=20,0,IF(C11&lt;=30,-10,-20)))</f>
        <v/>
      </c>
      <c r="F11" s="18" t="inlineStr">
        <is>
          <t>transfor_data["leverage"]   (CALCULADO: (req_amount + bal_cons_in + bal_veh_in + bal_hous_in) / (perm_saving + avail_saving))</t>
        </is>
      </c>
    </row>
    <row r="12" ht="32" customHeight="1">
      <c r="A12" s="5" t="inlineStr">
        <is>
          <t>CUPO MÁXIMO TOTAL ENDEUDAMIENTO</t>
        </is>
      </c>
      <c r="B12" s="5" t="inlineStr">
        <is>
          <t>float</t>
        </is>
      </c>
      <c r="C12" s="5">
        <f>Data!C6+Data!C25+Data!C26+Data!C27</f>
        <v/>
      </c>
      <c r="D12" s="5" t="inlineStr">
        <is>
          <t>Cálculo en motor</t>
        </is>
      </c>
      <c r="E12" s="5">
        <f>IF(AND(C29="Real Hipoteca",C12&lt;2164400000),0,IF(AND(C29="Real Hipoteca",C12&gt;=2164400000),-100,IF(C12&lt;1082200000,0,-100)))</f>
        <v/>
      </c>
      <c r="F12" s="18" t="inlineStr">
        <is>
          <t>transfor_data["max_debt"]   (CALCULADO: req_amount + bal_cons_in + bal_veh_in + bal_hous_in)</t>
        </is>
      </c>
    </row>
    <row r="13" ht="32" customHeight="1">
      <c r="A13" s="5" t="inlineStr">
        <is>
          <t>RECIPROCIDAD</t>
        </is>
      </c>
      <c r="B13" s="5" t="inlineStr">
        <is>
          <t>int</t>
        </is>
      </c>
      <c r="C13" s="5">
        <f>+(Data!C6+Data!C25+Data!C26+Data!C27)/(Data!C28)</f>
        <v/>
      </c>
      <c r="D13" s="5" t="inlineStr">
        <is>
          <t>Cálculo en motor</t>
        </is>
      </c>
      <c r="E13" s="5">
        <f>IF(C13&lt;=4,20,IF(C13&lt;=8,10,IF(C13&lt;=15,0,IF(C13&lt;=30,-50,-100))))</f>
        <v/>
      </c>
      <c r="F13" s="18" t="inlineStr">
        <is>
          <t>transfor_data["reciprocity"]   (CALCULADO: (req_amount + saldos internos) / perm_saving)</t>
        </is>
      </c>
      <c r="G13" s="11" t="n"/>
    </row>
    <row r="14" ht="32" customHeight="1">
      <c r="A14" s="5" t="inlineStr">
        <is>
          <t>NIVEL DE ENDEUDAMIENTO CONSUMO</t>
        </is>
      </c>
      <c r="B14" s="5" t="inlineStr">
        <is>
          <t>int</t>
        </is>
      </c>
      <c r="C14" s="5">
        <f>+IF(Data!C7="CONSUMO",(Data!C6+Data!C25+Data!C31)/(Data!C19),(Data!C25+Data!C31)/(Data!C19))</f>
        <v/>
      </c>
      <c r="D14" s="5" t="inlineStr">
        <is>
          <t>Cálculo en motor</t>
        </is>
      </c>
      <c r="E14" s="5">
        <f>IF(C14=0,40,IF(C14&lt;=8,40,IF(C14&lt;=15,0,IF(C14&lt;=20,-100,-200))))</f>
        <v/>
      </c>
      <c r="F14" s="18" t="inlineStr">
        <is>
          <t>transfor_data["nivel_endeudamiento_consumo"]   (CALCULADO: depende de credit_line, ratio sobre salary_amt)</t>
        </is>
      </c>
    </row>
    <row r="15" ht="32" customHeight="1">
      <c r="A15" s="5" t="inlineStr">
        <is>
          <t>NIVEL DE ENDEUDAMIENTO - ACTIVOS</t>
        </is>
      </c>
      <c r="B15" s="5" t="inlineStr">
        <is>
          <t>int</t>
        </is>
      </c>
      <c r="C15" s="5">
        <f>+IF(OR(Data!C7="VIVIENDA",Data!C7="VEHICULO"),(Data!C6+Data!C26+Data!C27+Data!C32+Data!C33)/(Data!C19),(Data!C26+Data!C27+Data!C32+Data!C33)/(Data!C19))</f>
        <v/>
      </c>
      <c r="D15" s="5" t="inlineStr">
        <is>
          <t>Cálculo en motor</t>
        </is>
      </c>
      <c r="E15" s="5">
        <f>IF(C15=0,0,IF(C15&lt;=30,40,IF(C15&lt;=40,0,-100)))</f>
        <v/>
      </c>
      <c r="F15" s="18" t="inlineStr">
        <is>
          <t>transfor_data["nivel_endeudamiento_activos"]   (CALCULADO: ratio activos / salary_amt)</t>
        </is>
      </c>
    </row>
    <row r="16" ht="32" customHeight="1">
      <c r="A16" s="5" t="inlineStr">
        <is>
          <t>ENDEUDAMIENTO TOTAL (Informativo)</t>
        </is>
      </c>
      <c r="B16" s="5" t="inlineStr">
        <is>
          <t>float</t>
        </is>
      </c>
      <c r="C16" s="5">
        <f>+Data!C6+Data!C25+Data!C26+Data!C27+Data!C31+Data!C32+Data!C33</f>
        <v/>
      </c>
      <c r="D16" s="5" t="inlineStr">
        <is>
          <t>Cálculo en motor</t>
        </is>
      </c>
      <c r="E16" s="5" t="n"/>
      <c r="F16" s="18" t="inlineStr">
        <is>
          <t>transfor_data["total_debt"]   (CALCULADO: req_amount + saldos internos + externos)</t>
        </is>
      </c>
    </row>
    <row r="17" ht="32" customHeight="1">
      <c r="A17" s="5" t="inlineStr">
        <is>
          <t>NIVEL DE ENDEUDAMIENTO TOTAL (Informativo)</t>
        </is>
      </c>
      <c r="B17" s="5" t="inlineStr">
        <is>
          <t>int</t>
        </is>
      </c>
      <c r="C17" s="5">
        <f>C15+C14</f>
        <v/>
      </c>
      <c r="D17" s="5" t="inlineStr">
        <is>
          <t>Cálculo en motor</t>
        </is>
      </c>
      <c r="E17" s="5" t="n"/>
      <c r="F17" s="18" t="inlineStr">
        <is>
          <t>transfor_data["nivel_endeudamiento_total"]   (CALCULADO: nivel_endeudamiento_consumo + nivel_endeudamiento_activos)</t>
        </is>
      </c>
    </row>
    <row r="18" ht="32" customHeight="1">
      <c r="A18" s="5" t="inlineStr">
        <is>
          <t>SOLVENCIA PATRIMONIAL</t>
        </is>
      </c>
      <c r="B18" s="5" t="inlineStr">
        <is>
          <t>int</t>
        </is>
      </c>
      <c r="C18" s="5">
        <f>+(C19-C20)/(C19+Data!C28+Data!C29)</f>
        <v/>
      </c>
      <c r="D18" s="5" t="inlineStr">
        <is>
          <t>Cálculo en motor</t>
        </is>
      </c>
      <c r="E18" s="5">
        <f>IF(C18&gt;0.25,40,IF(C18&gt;=0.01,10,IF(C18=0,0,-100)))</f>
        <v/>
      </c>
      <c r="F18" s="18" t="inlineStr">
        <is>
          <t>transfor_data["equity"]   (CALCULADO: (asset_value - liab_value) / (asset_value + perm_saving + avail_saving))</t>
        </is>
      </c>
    </row>
    <row r="19" ht="32" customHeight="1">
      <c r="A19" s="5" t="inlineStr">
        <is>
          <t xml:space="preserve">Valor Total Activos </t>
        </is>
      </c>
      <c r="B19" s="5" t="inlineStr">
        <is>
          <t>int</t>
        </is>
      </c>
      <c r="C19" s="5" t="n">
        <v>203000000</v>
      </c>
      <c r="D19" s="5" t="inlineStr">
        <is>
          <t>Cálculo en motor</t>
        </is>
      </c>
      <c r="E19" s="5" t="n"/>
      <c r="F19" s="14" t="inlineStr">
        <is>
          <t>campos_taynasoft["asset_value"]  ←  data["totalActivo"]</t>
        </is>
      </c>
    </row>
    <row r="20" ht="32" customHeight="1">
      <c r="A20" s="5" t="inlineStr">
        <is>
          <t>Valor Total Pasivos</t>
        </is>
      </c>
      <c r="B20" s="5" t="inlineStr">
        <is>
          <t>int</t>
        </is>
      </c>
      <c r="C20" s="5">
        <f>+Data!C6+Data!C25+Data!C26+Data!C27+Data!C31+Data!C32+Data!C33</f>
        <v/>
      </c>
      <c r="D20" s="5" t="inlineStr">
        <is>
          <t>Cálculo en motor</t>
        </is>
      </c>
      <c r="E20" s="5" t="n"/>
      <c r="F20" s="18" t="inlineStr">
        <is>
          <t>transfor_data["liab_value"]   (CALCULADO: req_amount + saldos internos + externos)</t>
        </is>
      </c>
    </row>
    <row r="21" ht="32" customHeight="1">
      <c r="A21" s="5" t="inlineStr">
        <is>
          <t xml:space="preserve">VALOR DE RIESGO </t>
        </is>
      </c>
      <c r="B21" s="5" t="inlineStr">
        <is>
          <t>int</t>
        </is>
      </c>
      <c r="C21" s="5">
        <f>IF((Data!C6+Data!C25+Data!C26+Data!C27)-(Data!C28+C24+C26+C28)&lt;0,0,(Data!C6+Data!C25+Data!C26+Data!C27)-(Data!C28+C24+C26+C28))</f>
        <v/>
      </c>
      <c r="D21" s="5" t="inlineStr">
        <is>
          <t>Cálculo en motor</t>
        </is>
      </c>
      <c r="E21" s="5">
        <f>IF(C21=0,100,IF(C21/1160000&lt;=30,50,-200))</f>
        <v/>
      </c>
      <c r="F21" s="18" t="inlineStr">
        <is>
          <t>transfor_data["valor_riesgo"]   (CALCULADO: max(0, (req_amount + saldos internos) - (perm_saving + indem_value + hipoteca_ajustada + prenda_ajustada)))</t>
        </is>
      </c>
    </row>
    <row r="22" ht="32" customHeight="1">
      <c r="A22" s="5" t="inlineStr">
        <is>
          <t>Valor Posible Indemnización</t>
        </is>
      </c>
      <c r="B22" s="5" t="inlineStr">
        <is>
          <t>int</t>
        </is>
      </c>
      <c r="C22" s="8" t="n">
        <v>6500000</v>
      </c>
      <c r="D22" s="5" t="inlineStr">
        <is>
          <t>Cálculo en motor</t>
        </is>
      </c>
      <c r="E22" s="5" t="n"/>
      <c r="F22" s="20" t="inlineStr">
        <is>
          <t>Valor base de indemnización  (hardcodeado / parámetro)</t>
        </is>
      </c>
    </row>
    <row r="23" ht="32" customHeight="1">
      <c r="A23" s="5" t="inlineStr">
        <is>
          <t>% Indemnización</t>
        </is>
      </c>
      <c r="B23" s="5" t="inlineStr">
        <is>
          <t>float</t>
        </is>
      </c>
      <c r="C23" s="5">
        <f>+IF(C2&lt;1,100%,IF(AND(C2&gt;=1,C2&lt;=4),90%,IF(AND(C2&gt;4,C2&lt;=8),80%,IF(AND(C2&gt;8,C2&lt;=12),75%,IF(AND(C2&gt;12,C2&lt;=16),65%,50%)))))</f>
        <v/>
      </c>
      <c r="D23" s="5" t="inlineStr">
        <is>
          <t>Cálculo en motor</t>
        </is>
      </c>
      <c r="E23" s="5" t="n"/>
      <c r="F23" s="18" t="inlineStr">
        <is>
          <t>transfor_data["indem_pct"]   (CALCULADO: porcentaje según company_age)</t>
        </is>
      </c>
    </row>
    <row r="24" ht="32" customHeight="1">
      <c r="A24" s="9" t="inlineStr">
        <is>
          <t>Indemnizacion</t>
        </is>
      </c>
      <c r="B24" s="5" t="inlineStr">
        <is>
          <t>int</t>
        </is>
      </c>
      <c r="C24" s="5">
        <f>C22*C23</f>
        <v/>
      </c>
      <c r="D24" s="5" t="inlineStr">
        <is>
          <t>Cálculo en motor</t>
        </is>
      </c>
      <c r="E24" s="5" t="n"/>
      <c r="F24" s="18" t="inlineStr">
        <is>
          <t>transfor_data["indem_value"]   (CALCULADO: valor_indem_base * indem_pct)</t>
        </is>
      </c>
    </row>
    <row r="25" ht="32" customHeight="1">
      <c r="A25" s="5" t="inlineStr">
        <is>
          <t>% Hipotecas</t>
        </is>
      </c>
      <c r="B25" s="5" t="inlineStr">
        <is>
          <t>int</t>
        </is>
      </c>
      <c r="C25" s="5" t="n">
        <v>190000000</v>
      </c>
      <c r="D25" s="5" t="inlineStr">
        <is>
          <t>Cálculo en motor</t>
        </is>
      </c>
      <c r="E25" s="5" t="n"/>
      <c r="F25" s="14" t="inlineStr">
        <is>
          <t>campos_taynasoft["mortg_value"]  ←  data["valorHipoteca"]</t>
        </is>
      </c>
    </row>
    <row r="26" ht="32" customHeight="1">
      <c r="A26" s="9" t="inlineStr">
        <is>
          <t>Hipotecas</t>
        </is>
      </c>
      <c r="B26" s="5" t="inlineStr">
        <is>
          <t>int</t>
        </is>
      </c>
      <c r="C26" s="5">
        <f>C25*75%</f>
        <v/>
      </c>
      <c r="D26" s="5" t="inlineStr">
        <is>
          <t>Cálculo en motor</t>
        </is>
      </c>
      <c r="E26" s="5" t="n"/>
      <c r="F26" s="18" t="inlineStr">
        <is>
          <t>transfor_data["hipoteca_ajustada"]   (CALCULADO: mortg_value * 0.75)</t>
        </is>
      </c>
    </row>
    <row r="27" ht="32" customHeight="1">
      <c r="A27" s="5" t="inlineStr">
        <is>
          <t>% Prendas</t>
        </is>
      </c>
      <c r="B27" s="5" t="inlineStr">
        <is>
          <t>int</t>
        </is>
      </c>
      <c r="C27" s="5" t="n">
        <v>0</v>
      </c>
      <c r="D27" s="5" t="inlineStr">
        <is>
          <t>Cálculo en motor</t>
        </is>
      </c>
      <c r="E27" s="5" t="n"/>
      <c r="F27" s="14" t="inlineStr">
        <is>
          <t>campos_taynasoft["pledge_value"]  ←  data["valorPrenda"]</t>
        </is>
      </c>
    </row>
    <row r="28" ht="32" customHeight="1">
      <c r="A28" s="9" t="inlineStr">
        <is>
          <t>Prendas</t>
        </is>
      </c>
      <c r="B28" s="5" t="inlineStr">
        <is>
          <t>int</t>
        </is>
      </c>
      <c r="C28" s="5">
        <f>C27*50%</f>
        <v/>
      </c>
      <c r="D28" s="5" t="inlineStr">
        <is>
          <t>Cálculo en motor</t>
        </is>
      </c>
      <c r="E28" s="5" t="n"/>
      <c r="F28" s="18" t="inlineStr">
        <is>
          <t>transfor_data["prenda_ajustada"]   (CALCULADO: pledge_value * 0.50)</t>
        </is>
      </c>
    </row>
    <row r="29" ht="32" customHeight="1">
      <c r="A29" s="5" t="inlineStr">
        <is>
          <t>GARANTÍA</t>
        </is>
      </c>
      <c r="B29" s="5" t="inlineStr">
        <is>
          <t>str</t>
        </is>
      </c>
      <c r="C29" s="5" t="inlineStr">
        <is>
          <t>Real Hipoteca</t>
        </is>
      </c>
      <c r="D29" s="5" t="inlineStr">
        <is>
          <t>Cálculo en motor</t>
        </is>
      </c>
      <c r="E29" s="5">
        <f>IF(C29="Real Hipoteca",20,IF(C29="Real Prenda",10,IF(C29="Firma Personal",5,0)))</f>
        <v/>
      </c>
      <c r="F29" s="18" t="inlineStr">
        <is>
          <t>transfor_data["garantia"]   (CALCULADO: "Real Hipoteca" / "Real Prenda" / "Firma Personal" según req_mortgage / req_pledge)</t>
        </is>
      </c>
    </row>
    <row r="30" ht="32" customHeight="1">
      <c r="A30" s="5" t="inlineStr">
        <is>
          <t>Descubierto</t>
        </is>
      </c>
      <c r="B30" s="5" t="inlineStr">
        <is>
          <t>float</t>
        </is>
      </c>
      <c r="C30" s="5">
        <f>(Data!C25+Data!C26+Data!C27+Data!C6)-(Data!C28)</f>
        <v/>
      </c>
      <c r="D30" s="5" t="inlineStr">
        <is>
          <t>Cálculo en motor</t>
        </is>
      </c>
      <c r="E30" s="5" t="n"/>
      <c r="F30" s="18" t="inlineStr">
        <is>
          <t>transfor_data["overdraft"]   (CALCULADO: (saldos internos + req_amount) - perm_saving)</t>
        </is>
      </c>
    </row>
    <row r="31" ht="32" customHeight="1">
      <c r="A31" s="5" t="inlineStr">
        <is>
          <t>RECUPERACION DESCUBIERTO</t>
        </is>
      </c>
      <c r="B31" s="5" t="inlineStr">
        <is>
          <t>int</t>
        </is>
      </c>
      <c r="C31" s="5">
        <f>+C30/(Data!C34+Data!C35+Data!C36)</f>
        <v/>
      </c>
      <c r="D31" s="5" t="inlineStr">
        <is>
          <t>Cálculo en motor</t>
        </is>
      </c>
      <c r="E31" s="5">
        <f>IF(C31&lt;=12,20,IF(C31&lt;=24,15,IF(C31&lt;=36,10,IF(C31&lt;=60,5,0))))</f>
        <v/>
      </c>
      <c r="F31" s="18" t="inlineStr">
        <is>
          <t>transfor_data["recuperacion_descubierto"]   (CALCULADO: overdraft / (curr_amort + proj_installment + perm_fee))</t>
        </is>
      </c>
    </row>
    <row r="32" ht="32" customHeight="1">
      <c r="A32" s="5" t="inlineStr">
        <is>
          <t>RECUPERACIÓN VALOR DE RIESGO</t>
        </is>
      </c>
      <c r="B32" s="5" t="inlineStr">
        <is>
          <t>int</t>
        </is>
      </c>
      <c r="C32" s="5">
        <f>+C21/(Data!C34+Data!C35+Data!C36)</f>
        <v/>
      </c>
      <c r="D32" s="5" t="inlineStr">
        <is>
          <t>Cálculo en motor</t>
        </is>
      </c>
      <c r="E32" s="5">
        <f>IF(C32&lt;=12,20,IF(C32&lt;=24,15,IF(C32&lt;=36,5,IF(C32&lt;=60,0,-50))))</f>
        <v/>
      </c>
      <c r="F32" s="18" t="inlineStr">
        <is>
          <t>transfor_data["risk_recover"]   (CALCULADO: valor_riesgo / (curr_amort + proj_installment + perm_fee))</t>
        </is>
      </c>
    </row>
    <row r="33" ht="32" customHeight="1">
      <c r="A33" s="5" t="inlineStr">
        <is>
          <t>SCORING FESICOL</t>
        </is>
      </c>
      <c r="B33" s="5" t="inlineStr">
        <is>
          <t>int</t>
        </is>
      </c>
      <c r="C33" s="5" t="n"/>
      <c r="D33" s="5" t="inlineStr">
        <is>
          <t>Cálculo en motor</t>
        </is>
      </c>
      <c r="E33" s="5">
        <f>Data!E9+Data!E10+Data!E11+Data!E12+Data!E13+Data!E14+Data!E15+Data!E16+Data!E30+Data!E37+Data!E38+Processing!E2+Processing!E3+Processing!E4+Processing!E5+Processing!E10+Processing!E11+Processing!E12+Processing!E13+Processing!E14+Processing!E15+Processing!E18+Processing!E21+Processing!E29+Processing!E31+Processing!E32</f>
        <v/>
      </c>
      <c r="F33" s="18" t="inlineStr">
        <is>
          <t>transfor_data["SCORING_FESICOL"]   (CALCULADO: perf_soc + perfil_fro + perfil_habito)</t>
        </is>
      </c>
    </row>
    <row r="34" ht="32" customHeight="1">
      <c r="A34" s="5" t="inlineStr">
        <is>
          <t xml:space="preserve">INSTANCIA DE APROBACIÓN </t>
        </is>
      </c>
      <c r="B34" s="5" t="inlineStr">
        <is>
          <t>str</t>
        </is>
      </c>
      <c r="C34" s="5" t="n"/>
      <c r="D34" s="5" t="inlineStr">
        <is>
          <t>Cálculo en motor</t>
        </is>
      </c>
      <c r="E34" s="5">
        <f>IF(E33&lt;=400,"JUNTA DIRECTIVA",IF(AND(E33&gt;400,E33&lt;=500),"COMITÉ DE CRÉDITO",IF(AND(E33&gt;500,E33&lt;=749),"GERENCIA","JEFE DE CREDITO Y CARTERA")))</f>
        <v/>
      </c>
      <c r="F34" s="18" t="inlineStr">
        <is>
          <t>transfor_data["decision_nivel_autoridad"]   (CALCULADO: ≤400 JUNTA, ≤500 COMITÉ, ≤749 GERENCIA, &gt;749 JEFE)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21" t="inlineStr">
        <is>
          <t>Leyenda de colores (columna F)</t>
        </is>
      </c>
    </row>
    <row r="3">
      <c r="A3" s="22" t="inlineStr">
        <is>
          <t>Verde</t>
        </is>
      </c>
      <c r="B3" s="23" t="inlineStr">
        <is>
          <t>campos_taynasoft[...]  ←  Taynasoft.data[...] (parsear_taynasoft)</t>
        </is>
      </c>
    </row>
    <row r="4">
      <c r="A4" s="24" t="inlineStr">
        <is>
          <t>Azul</t>
        </is>
      </c>
      <c r="B4" s="23" t="inlineStr">
        <is>
          <t>acumuladores_experian[...] o credit_score (Experian, procesar_response)</t>
        </is>
      </c>
    </row>
    <row r="5">
      <c r="A5" s="25" t="inlineStr">
        <is>
          <t>Naranja</t>
        </is>
      </c>
      <c r="B5" s="23" t="inlineStr">
        <is>
          <t>chat_input[...]  (lo manda el bot / payload)</t>
        </is>
      </c>
    </row>
    <row r="6">
      <c r="A6" s="26" t="inlineStr">
        <is>
          <t>Amarillo</t>
        </is>
      </c>
      <c r="B6" s="23" t="inlineStr">
        <is>
          <t>transfor_data[...]  CALCULADO dentro de motor()</t>
        </is>
      </c>
    </row>
    <row r="7">
      <c r="A7" s="27" t="inlineStr">
        <is>
          <t>Gris</t>
        </is>
      </c>
      <c r="B7" s="23" t="inlineStr">
        <is>
          <t>Automático (datetime.now, generar_radicado)</t>
        </is>
      </c>
    </row>
    <row r="10">
      <c r="A10" s="21" t="inlineStr">
        <is>
          <t>Notas</t>
        </is>
      </c>
    </row>
    <row r="11" ht="32" customHeight="1">
      <c r="A11" s="28" t="inlineStr">
        <is>
          <t>• 'parsear_taynasoft(data, chat_input)' (líneas 300-579 de complete_fesicol.py) traduce el bloque 'data' de Taynasoft a campos_taynasoft.</t>
        </is>
      </c>
    </row>
    <row r="12" ht="32" customHeight="1">
      <c r="A12" s="28" t="inlineStr">
        <is>
          <t>• 'procesar_response(response, tablas)' (líneas 648-775) recorre liabilities y creditCard de Experian y separa interno (NIT 860004840 = Fesicol) vs externo.</t>
        </is>
      </c>
    </row>
    <row r="13" ht="32" customHeight="1">
      <c r="A13" s="28" t="inlineStr">
        <is>
          <t>• 'motor(campos_taynasoft, acumuladores_experian, chat_input, credit_score)' (línea 782) construye transfor_data con todos los cálculos.</t>
        </is>
      </c>
    </row>
    <row r="14" ht="32" customHeight="1">
      <c r="A14" s="28" t="inlineStr">
        <is>
          <t>• SM = 1.423.500 (salario mínimo, línea 789).</t>
        </is>
      </c>
    </row>
    <row r="15" ht="32" customHeight="1">
      <c r="A15" s="28" t="inlineStr">
        <is>
          <t>• La decisión final (línea 1634) sale del SCORING_FESICOL = perf_soc + perfil_fro + perfil_habito.</t>
        </is>
      </c>
    </row>
    <row r="16" ht="32" customHeight="1">
      <c r="A16" s="28" t="inlineStr">
        <is>
          <t>• La fila 5 (GENERO) actualmente no se usa en el motor; el código no la lee de Taynasoft.</t>
        </is>
      </c>
    </row>
    <row r="17" ht="32" customHeight="1">
      <c r="A17" s="28" t="inlineStr">
        <is>
          <t>• La fila 22 (Valor Posible Indemnización) aparece hardcoded en 6.500.000 en el Excel; en el motor el campo equivalente es indem_value (calculado).</t>
        </is>
      </c>
    </row>
  </sheetData>
  <mergeCells count="7">
    <mergeCell ref="A16:B16"/>
    <mergeCell ref="A15:B15"/>
    <mergeCell ref="A11:B11"/>
    <mergeCell ref="A13:B13"/>
    <mergeCell ref="A14:B14"/>
    <mergeCell ref="A17:B1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2026-04-16T16:01:47Z</dcterms:created>
  <dcterms:modified xmlns:dcterms="http://purl.org/dc/terms/" xmlns:xsi="http://www.w3.org/2001/XMLSchema-instance" xsi:type="dcterms:W3CDTF">2026-05-25T22:20:54Z</dcterms:modified>
  <cp:lastModifiedBy>ASUS</cp:lastModifiedBy>
</cp:coreProperties>
</file>